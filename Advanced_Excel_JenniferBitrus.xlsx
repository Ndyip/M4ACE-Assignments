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CHIE ENTERPRISE\Documents\"/>
    </mc:Choice>
  </mc:AlternateContent>
  <xr:revisionPtr revIDLastSave="0" documentId="13_ncr:1_{A29C18D3-AA71-42E0-942B-BA2EB5A7CC95}" xr6:coauthVersionLast="47" xr6:coauthVersionMax="47" xr10:uidLastSave="{00000000-0000-0000-0000-000000000000}"/>
  <bookViews>
    <workbookView xWindow="-120" yWindow="-120" windowWidth="24240" windowHeight="13020" tabRatio="808" firstSheet="1" activeTab="9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'Tax Rate'!$A$2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0" l="1"/>
  <c r="A2" i="10"/>
  <c r="E7" i="9"/>
  <c r="E3" i="9"/>
  <c r="D24" i="8" a="1"/>
  <c r="D24" i="8" s="1"/>
  <c r="C23" i="8"/>
  <c r="C15" i="8"/>
  <c r="C19" i="8"/>
  <c r="C11" i="8"/>
  <c r="C4" i="8"/>
  <c r="C3" i="8"/>
  <c r="C2" i="8"/>
  <c r="A32" i="7"/>
  <c r="A29" i="7"/>
  <c r="A26" i="7"/>
  <c r="A23" i="7"/>
  <c r="A19" i="7"/>
  <c r="A15" i="7"/>
  <c r="A11" i="7"/>
  <c r="A7" i="7"/>
  <c r="A3" i="7"/>
  <c r="F12" i="6" a="1"/>
  <c r="F12" i="6" s="1"/>
  <c r="F11" i="6" a="1"/>
  <c r="F11" i="6" s="1"/>
  <c r="F8" i="6" a="1"/>
  <c r="F8" i="6" s="1"/>
  <c r="F3" i="6" a="1"/>
  <c r="F3" i="6" s="1"/>
  <c r="F9" i="6"/>
  <c r="F7" i="6"/>
  <c r="F2" i="6"/>
  <c r="E12" i="5"/>
  <c r="E11" i="5"/>
  <c r="E10" i="5"/>
  <c r="E7" i="5"/>
  <c r="E6" i="5"/>
  <c r="E5" i="5"/>
  <c r="E4" i="5"/>
  <c r="E3" i="5"/>
  <c r="E2" i="5"/>
  <c r="B5" i="4"/>
  <c r="B9" i="12"/>
  <c r="C5" i="12"/>
  <c r="D5" i="12"/>
  <c r="E5" i="12"/>
  <c r="B5" i="12"/>
  <c r="C4" i="12"/>
  <c r="D4" i="12"/>
  <c r="E4" i="12"/>
  <c r="B4" i="12"/>
  <c r="E3" i="12"/>
  <c r="E2" i="12"/>
  <c r="A3" i="11"/>
  <c r="B4" i="11"/>
  <c r="B3" i="11"/>
  <c r="A2" i="11"/>
  <c r="A1" i="11"/>
  <c r="B4" i="4"/>
  <c r="E24" i="8"/>
  <c r="E23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<sst xmlns="http://schemas.openxmlformats.org/spreadsheetml/2006/main" count="153" uniqueCount="76">
  <si>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</si>
  <si>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</si>
  <si>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</si>
  <si>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</si>
  <si>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</si>
  <si>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</si>
  <si>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</si>
  <si>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</si>
  <si>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</si>
  <si>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</si>
  <si>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</si>
  <si>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</si>
  <si>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</si>
  <si>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</si>
  <si>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</si>
  <si>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</si>
  <si>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</si>
  <si>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</si>
  <si>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</si>
  <si>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</si>
  <si>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</si>
  <si>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</si>
  <si>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</si>
  <si>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</si>
  <si>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</si>
  <si>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</si>
  <si>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</si>
  <si>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</si>
  <si>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</si>
  <si>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</si>
  <si>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</si>
  <si>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</si>
  <si>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</si>
  <si>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</si>
  <si>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</si>
  <si>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</si>
  <si>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</si>
  <si>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</si>
  <si>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</si>
  <si>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</si>
  <si>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</si>
  <si>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</si>
  <si>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</si>
  <si>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</si>
  <si>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</si>
  <si>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</si>
  <si>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</si>
  <si>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</si>
  <si>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</si>
  <si>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</si>
  <si>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</si>
  <si>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</si>
  <si>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</si>
  <si>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</si>
  <si>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</si>
  <si>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</si>
  <si>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</si>
  <si>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</si>
  <si>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</si>
  <si>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</si>
  <si>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</si>
  <si>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</si>
  <si>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</si>
  <si>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</si>
  <si>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</si>
  <si>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</si>
  <si>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</si>
  <si>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</si>
  <si>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</si>
  <si>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</si>
  <si>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</si>
  <si>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</si>
  <si>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Using United states as the criteria</t>
  </si>
  <si>
    <t xml:space="preserve">Country as the range </t>
  </si>
  <si>
    <t>Cookies Sold as the sum range</t>
  </si>
  <si>
    <t>Jenny@kevincookiecompany.com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</si>
</sst>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enny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06" zoomScaleNormal="106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>SUM(B3:D3)</f>
        <v>9</v>
      </c>
    </row>
    <row r="4" spans="1:7" x14ac:dyDescent="0.25">
      <c r="A4" s="2" t="s">
        <v>7</v>
      </c>
      <c r="B4">
        <f>SUM(B2-B3)</f>
        <v>6</v>
      </c>
      <c r="C4">
        <f t="shared" ref="C4:E4" si="0">SUM(C2-C3)</f>
        <v>5</v>
      </c>
      <c r="D4">
        <f t="shared" si="0"/>
        <v>3</v>
      </c>
      <c r="E4">
        <f t="shared" si="0"/>
        <v>14</v>
      </c>
    </row>
    <row r="5" spans="1:7" x14ac:dyDescent="0.25">
      <c r="A5" s="2" t="s">
        <v>8</v>
      </c>
      <c r="B5">
        <f>SUM(B4*TaxRate)</f>
        <v>0.60000000000000009</v>
      </c>
      <c r="C5">
        <f>SUM(C4*TaxRate)</f>
        <v>0.5</v>
      </c>
      <c r="D5">
        <f>SUM(D4*TaxRate)</f>
        <v>0.30000000000000004</v>
      </c>
      <c r="E5">
        <f>SUM(E4*TaxRate)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SUM(E4/2)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118" zoomScaleNormal="118" workbookViewId="0">
      <selection activeCell="A2" sqref="A2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12" zoomScaleNormal="112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zoomScale="175" zoomScaleNormal="175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LARGE(B:B, 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SMALL(B:B,2)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</row>
    <row r="10" spans="1:5" x14ac:dyDescent="0.25">
      <c r="D10" t="s">
        <v>25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H22"/>
  <sheetViews>
    <sheetView zoomScale="130" zoomScaleNormal="130" workbookViewId="0">
      <selection activeCell="F12" sqref="F12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  <col min="6" max="6" width="13.42578125" customWidth="1"/>
  </cols>
  <sheetData>
    <row r="1" spans="1:8" x14ac:dyDescent="0.25">
      <c r="A1" s="2" t="s">
        <v>13</v>
      </c>
      <c r="B1" s="2" t="s">
        <v>28</v>
      </c>
      <c r="C1" s="2" t="s">
        <v>14</v>
      </c>
    </row>
    <row r="2" spans="1:8" x14ac:dyDescent="0.25">
      <c r="A2" t="s">
        <v>0</v>
      </c>
      <c r="B2" t="s">
        <v>29</v>
      </c>
      <c r="C2">
        <v>28</v>
      </c>
      <c r="E2" t="s">
        <v>30</v>
      </c>
      <c r="F2">
        <f>SUMIF(B:B,B2,C:C)</f>
        <v>362</v>
      </c>
    </row>
    <row r="3" spans="1:8" x14ac:dyDescent="0.25">
      <c r="A3" t="s">
        <v>1</v>
      </c>
      <c r="B3" t="s">
        <v>29</v>
      </c>
      <c r="C3">
        <v>32</v>
      </c>
      <c r="E3" t="s">
        <v>31</v>
      </c>
      <c r="F3" cm="1">
        <f t="array" ref="F3">SUM(SUMIFS(C:C,B:B,B2,A:A,A2:A3))</f>
        <v>60</v>
      </c>
    </row>
    <row r="4" spans="1:8" x14ac:dyDescent="0.25">
      <c r="A4" t="s">
        <v>2</v>
      </c>
      <c r="B4" t="s">
        <v>29</v>
      </c>
      <c r="C4">
        <v>52</v>
      </c>
      <c r="H4" t="s">
        <v>73</v>
      </c>
    </row>
    <row r="5" spans="1:8" x14ac:dyDescent="0.25">
      <c r="A5" t="s">
        <v>18</v>
      </c>
      <c r="B5" t="s">
        <v>29</v>
      </c>
      <c r="C5">
        <v>67</v>
      </c>
      <c r="H5" t="s">
        <v>72</v>
      </c>
    </row>
    <row r="6" spans="1:8" x14ac:dyDescent="0.25">
      <c r="A6" t="s">
        <v>20</v>
      </c>
      <c r="B6" t="s">
        <v>29</v>
      </c>
      <c r="C6">
        <v>44</v>
      </c>
      <c r="H6" t="s">
        <v>74</v>
      </c>
    </row>
    <row r="7" spans="1:8" x14ac:dyDescent="0.25">
      <c r="A7" t="s">
        <v>22</v>
      </c>
      <c r="B7" t="s">
        <v>29</v>
      </c>
      <c r="C7">
        <v>39</v>
      </c>
      <c r="E7" t="s">
        <v>32</v>
      </c>
      <c r="F7">
        <f>AVERAGEIF(B:B,B2,C:C)</f>
        <v>51.714285714285715</v>
      </c>
    </row>
    <row r="8" spans="1:8" x14ac:dyDescent="0.25">
      <c r="A8" t="s">
        <v>24</v>
      </c>
      <c r="B8" t="s">
        <v>29</v>
      </c>
      <c r="C8">
        <v>100</v>
      </c>
      <c r="E8" t="s">
        <v>33</v>
      </c>
      <c r="F8" cm="1">
        <f t="array" ref="F8">AVERAGE(AVERAGEIFS(C:C,B:B,B2,A:A,A2:A3))</f>
        <v>30</v>
      </c>
    </row>
    <row r="9" spans="1:8" x14ac:dyDescent="0.25">
      <c r="A9" t="s">
        <v>0</v>
      </c>
      <c r="B9" t="s">
        <v>34</v>
      </c>
      <c r="C9">
        <v>75</v>
      </c>
      <c r="E9" t="s">
        <v>35</v>
      </c>
      <c r="F9">
        <f>COUNTIF(B:B,B2)</f>
        <v>7</v>
      </c>
    </row>
    <row r="10" spans="1:8" x14ac:dyDescent="0.25">
      <c r="A10" t="s">
        <v>1</v>
      </c>
      <c r="B10" t="s">
        <v>34</v>
      </c>
      <c r="C10">
        <v>32</v>
      </c>
      <c r="E10" t="s">
        <v>36</v>
      </c>
    </row>
    <row r="11" spans="1:8" x14ac:dyDescent="0.25">
      <c r="A11" t="s">
        <v>2</v>
      </c>
      <c r="B11" t="s">
        <v>34</v>
      </c>
      <c r="C11">
        <v>40</v>
      </c>
      <c r="E11" t="s">
        <v>37</v>
      </c>
      <c r="F11" cm="1">
        <f t="array" ref="F11">MIN(_xlfn.MINIFS(C:C,B:B,B2,A:A,A2:A8))</f>
        <v>28</v>
      </c>
    </row>
    <row r="12" spans="1:8" x14ac:dyDescent="0.25">
      <c r="A12" t="s">
        <v>18</v>
      </c>
      <c r="B12" t="s">
        <v>34</v>
      </c>
      <c r="C12">
        <v>21</v>
      </c>
      <c r="E12" t="s">
        <v>38</v>
      </c>
      <c r="F12" cm="1">
        <f t="array" ref="F12">MAX(_xlfn.MAXIFS(C:C,B:B,B2,A:A,A2:A8))</f>
        <v>100</v>
      </c>
    </row>
    <row r="13" spans="1:8" x14ac:dyDescent="0.25">
      <c r="A13" t="s">
        <v>20</v>
      </c>
      <c r="B13" t="s">
        <v>34</v>
      </c>
      <c r="C13">
        <v>58</v>
      </c>
    </row>
    <row r="14" spans="1:8" x14ac:dyDescent="0.25">
      <c r="A14" t="s">
        <v>22</v>
      </c>
      <c r="B14" t="s">
        <v>34</v>
      </c>
      <c r="C14">
        <v>21</v>
      </c>
    </row>
    <row r="15" spans="1:8" x14ac:dyDescent="0.25">
      <c r="A15" t="s">
        <v>24</v>
      </c>
      <c r="B15" t="s">
        <v>34</v>
      </c>
      <c r="C15">
        <v>54</v>
      </c>
    </row>
    <row r="16" spans="1:8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opLeftCell="A8" zoomScale="98" zoomScaleNormal="98" workbookViewId="0">
      <selection activeCell="B30" sqref="B30"/>
    </sheetView>
  </sheetViews>
  <sheetFormatPr defaultRowHeight="15" x14ac:dyDescent="0.25"/>
  <cols>
    <col min="1" max="1" width="26.8554687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 " ",B10, " ",C10)</f>
        <v>Kevin Cookie 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 " "&amp;B14&amp; " "&amp;C14</f>
        <v>Kevin Cookie 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",TRUE,A18:C18)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 5)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>LEN(A25)</f>
        <v>20</v>
      </c>
    </row>
    <row r="27" spans="1:3" x14ac:dyDescent="0.25">
      <c r="A27" s="2" t="s">
        <v>54</v>
      </c>
    </row>
    <row r="28" spans="1:3" x14ac:dyDescent="0.25">
      <c r="A28" s="5" t="s">
        <v>75</v>
      </c>
    </row>
    <row r="29" spans="1:3" x14ac:dyDescent="0.25">
      <c r="A29">
        <f>FIND("@", A28)</f>
        <v>6</v>
      </c>
    </row>
    <row r="31" spans="1:3" x14ac:dyDescent="0.25">
      <c r="A31" s="2" t="s">
        <v>55</v>
      </c>
    </row>
    <row r="32" spans="1:3" x14ac:dyDescent="0.25">
      <c r="A32" t="str">
        <f>LEFT(A28,FIND("@",A28)-1)</f>
        <v>Jenny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Normal="100" workbookViewId="0">
      <selection activeCell="E25" sqref="E25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56</v>
      </c>
    </row>
    <row r="2" spans="1:3" x14ac:dyDescent="0.25">
      <c r="A2" t="s">
        <v>53</v>
      </c>
      <c r="B2" t="s">
        <v>57</v>
      </c>
      <c r="C2" t="b">
        <f>A2=B2</f>
        <v>0</v>
      </c>
    </row>
    <row r="3" spans="1:3" x14ac:dyDescent="0.25">
      <c r="A3">
        <v>10</v>
      </c>
      <c r="B3">
        <v>5</v>
      </c>
      <c r="C3" t="b">
        <f>A3&gt;B4</f>
        <v>0</v>
      </c>
    </row>
    <row r="4" spans="1:3" x14ac:dyDescent="0.25">
      <c r="B4">
        <v>11</v>
      </c>
      <c r="C4" t="b">
        <f>B4&gt;B3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58</v>
      </c>
    </row>
    <row r="10" spans="1:3" x14ac:dyDescent="0.25">
      <c r="A10" t="s">
        <v>0</v>
      </c>
      <c r="B10">
        <v>97</v>
      </c>
      <c r="C10" t="s">
        <v>59</v>
      </c>
    </row>
    <row r="11" spans="1:3" x14ac:dyDescent="0.2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50</v>
      </c>
    </row>
    <row r="13" spans="1:3" x14ac:dyDescent="0.25">
      <c r="C13" s="2" t="s">
        <v>60</v>
      </c>
    </row>
    <row r="14" spans="1:3" x14ac:dyDescent="0.25">
      <c r="C14" t="s">
        <v>61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62</v>
      </c>
    </row>
    <row r="18" spans="1:5" x14ac:dyDescent="0.25">
      <c r="C18" t="s">
        <v>63</v>
      </c>
    </row>
    <row r="19" spans="1:5" x14ac:dyDescent="0.25">
      <c r="C19" t="str">
        <f>IF(OR(B10&gt;B11,B10&gt;B12),"Yes","No")</f>
        <v>Yes</v>
      </c>
    </row>
    <row r="21" spans="1:5" x14ac:dyDescent="0.25">
      <c r="A21" s="2" t="s">
        <v>64</v>
      </c>
      <c r="B21" s="2" t="s">
        <v>65</v>
      </c>
      <c r="C21" s="2" t="s">
        <v>66</v>
      </c>
    </row>
    <row r="22" spans="1:5" x14ac:dyDescent="0.25">
      <c r="A22" t="s">
        <v>0</v>
      </c>
      <c r="B22">
        <v>10</v>
      </c>
      <c r="C22" t="s">
        <v>67</v>
      </c>
      <c r="E22" s="2" t="s">
        <v>2</v>
      </c>
    </row>
    <row r="23" spans="1:5" x14ac:dyDescent="0.25">
      <c r="A23" t="s">
        <v>1</v>
      </c>
      <c r="B23">
        <v>8</v>
      </c>
      <c r="C23">
        <f>IF(E22=A22,B22,IF(E22=A23,B23,IF(E22=A24,B24, "Unknown Cookie")))</f>
        <v>5</v>
      </c>
      <c r="E23" t="str">
        <f ca="1">_xlfn.FORMULATEXT(C23)</f>
        <v>=IF(E22=A22,B22,IF(E22=A23,B23,IF(E22=A24,B24, "Unknown Cookie")))</v>
      </c>
    </row>
    <row r="24" spans="1:5" x14ac:dyDescent="0.25">
      <c r="A24" t="s">
        <v>2</v>
      </c>
      <c r="B24">
        <v>5</v>
      </c>
      <c r="D24" cm="1">
        <f t="array" ref="D24">_xlfn.IFS(E22=A22,B22,E22=A23,B23,E22=A24,B24)</f>
        <v>5</v>
      </c>
      <c r="E24" t="str">
        <f ca="1">_xlfn.FORMULATEXT(D24)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98" zoomScaleNormal="98" workbookViewId="0">
      <selection activeCell="G9" sqref="G9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64</v>
      </c>
      <c r="B1" s="2" t="s">
        <v>65</v>
      </c>
      <c r="C1" s="2" t="s">
        <v>6</v>
      </c>
      <c r="D1" s="2"/>
      <c r="E1" s="2" t="s">
        <v>68</v>
      </c>
    </row>
    <row r="2" spans="1:6" x14ac:dyDescent="0.25">
      <c r="A2" t="s">
        <v>0</v>
      </c>
      <c r="B2">
        <v>10</v>
      </c>
      <c r="C2">
        <v>4</v>
      </c>
      <c r="E2" t="s">
        <v>67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VLOOKUP(F2,A1:C4,2,FALSE)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69</v>
      </c>
    </row>
    <row r="6" spans="1:6" x14ac:dyDescent="0.25">
      <c r="E6" t="s">
        <v>67</v>
      </c>
      <c r="F6" t="s">
        <v>0</v>
      </c>
    </row>
    <row r="7" spans="1:6" x14ac:dyDescent="0.25">
      <c r="E7">
        <f>_xlfn.XLOOKUP(F6,A:A,B:B)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98" zoomScaleNormal="98" workbookViewId="0">
      <selection activeCell="A6" sqref="A6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70</v>
      </c>
    </row>
    <row r="2" spans="1:1" x14ac:dyDescent="0.25">
      <c r="A2" s="6">
        <f ca="1">TODAY()</f>
        <v>46087</v>
      </c>
    </row>
    <row r="4" spans="1:1" x14ac:dyDescent="0.25">
      <c r="A4" s="2" t="s">
        <v>71</v>
      </c>
    </row>
    <row r="5" spans="1:1" x14ac:dyDescent="0.25">
      <c r="A5" s="7">
        <f ca="1">NOW()</f>
        <v>46087.941724537035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showFormulas="1" tabSelected="1" zoomScaleNormal="100" workbookViewId="0">
      <selection activeCell="D4" sqref="D4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Jennifer Bitrus</cp:lastModifiedBy>
  <cp:revision/>
  <dcterms:created xsi:type="dcterms:W3CDTF">2022-05-10T22:30:35Z</dcterms:created>
  <dcterms:modified xsi:type="dcterms:W3CDTF">2026-03-06T21:38:35Z</dcterms:modified>
  <cp:category/>
  <cp:contentStatus/>
</cp:coreProperties>
</file>